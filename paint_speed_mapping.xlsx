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calcPr calcId="191029" fullCalcOnLoad="1" forceFullCalc="1"/>
  <sheets>
    <sheet name="Calculator" sheetId="1" r:id="rId1"/>
    <sheet name="Complete Tabl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5BA9"/>
        <bgColor indexed="64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Paint Speed Mapping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'Complete Table'!$B$1</c:f>
            </c:strRef>
          </c:tx>
          <c:spPr>
            <a:ln>
              <a:solidFill>
                <a:srgbClr val="905BA9"/>
              </a:solidFill>
            </a:ln>
          </c:spPr>
          <c:cat>
            <c:numRef>
              <c:f>'Complete Table'!$A$2:$A$101</c:f>
            </c:numRef>
          </c:cat>
          <c:val>
            <c:numRef>
              <c:f>'Complete Table'!$B$2:$B$101</c:f>
            </c:numRef>
          </c:val>
          <c:smooth val="1"/>
        </c:ser>
        <c:ser>
          <c:idx val="1"/>
          <c:order val="1"/>
          <c:tx>
            <c:strRef>
              <c:f>'Complete Table'!$C$1</c:f>
            </c:strRef>
          </c:tx>
          <c:spPr>
            <a:ln>
              <a:solidFill>
                <a:srgbClr val="2E7D32"/>
              </a:solidFill>
            </a:ln>
          </c:spPr>
          <c:cat>
            <c:numRef>
              <c:f>'Complete Table'!$A$2:$A$101</c:f>
            </c:numRef>
          </c:cat>
          <c:val>
            <c:numRef>
              <c:f>'Complete Table'!$C$2:$C$101</c:f>
            </c:numRef>
          </c:val>
          <c:smooth val="1"/>
        </c:ser>
        <c:axId val="123456"/>
        <c:axId val="654321"/>
      </c:lineChart>
      <c:catAx>
        <c:axId val="12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UI Speed (%)</a:t>
                </a:r>
              </a:p>
            </c:rich>
          </c:tx>
          <c:layout/>
          <c:overlay val="0"/>
        </c:title>
        <c:tickLblPos val="nextTo"/>
        <c:crossAx val="654321"/>
        <c:crosses val="autoZero"/>
        <c:auto val="1"/>
        <c:lblAlgn val="ctr"/>
        <c:lblOffset val="100"/>
        <c:tickLblSkip val="1"/>
        <c:tickMarkSkip val="1"/>
      </c:catAx>
      <c:valAx>
        <c:axId val="654321"/>
        <c:scaling>
          <c:orientation val="minMax"/>
          <c:min val="0"/>
          <c:max val="100"/>
        </c:scaling>
        <c:delete val="0"/>
        <c:axPos val="l"/>
        <c:title>
          <c:tx>
            <c:rich>
              <a:bodyPr/>
              <a:lstStyle/>
              <a:p>
                <a:r>
                  <a:t>Resolved value (%)</a:t>
                </a:r>
              </a:p>
            </c:rich>
          </c:tx>
          <c:layout/>
          <c:overlay val="0"/>
        </c:title>
        <c:numFmt formatCode="0.00" sourceLinked="0"/>
        <c:tickLblPos val="nextTo"/>
        <c:crossAx val="123456"/>
        <c:crosses val="autoZero"/>
        <c:crossBetween val="between"/>
      </c:valAx>
    </c:plotArea>
    <c:legend>
      <c:legendPos val="b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Paint Speed Mapping Chart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workbookViewId="0">
      <selection activeCell="B2" sqref="B2"/>
    </sheetView>
  </sheetViews>
  <cols>
    <col min="1" max="1" width="34" customWidth="1"/>
    <col min="2" max="2" width="52" customWidth="1"/>
  </cols>
  <sheetData>
    <row r="1">
      <c r="A1" t="inlineStr" s="1">
        <is>
          <t>Paint Speed Calculator</t>
        </is>
      </c>
    </row>
    <row r="2">
      <c r="A2" t="inlineStr" s="2">
        <is>
          <t>UI Speed (1-100)</t>
        </is>
      </c>
      <c r="B2" s="3">
        <v>80</v>
      </c>
    </row>
    <row r="3">
      <c r="A3" t="inlineStr" s="2">
        <is>
          <t>Minimum internal velocity (%)</t>
        </is>
      </c>
      <c r="B3" s="3">
        <v>10.0</v>
      </c>
    </row>
    <row r="4">
      <c r="A4" t="inlineStr" s="2">
        <is>
          <t>Maximum internal velocity (%)</t>
        </is>
      </c>
      <c r="B4" s="3">
        <v>100.0</v>
      </c>
    </row>
    <row r="5">
      <c r="A5" t="inlineStr" s="2">
        <is>
          <t>Minimum internal acceleration (%)</t>
        </is>
      </c>
      <c r="B5" s="3">
        <v>1.0</v>
      </c>
    </row>
    <row r="6">
      <c r="A6" t="inlineStr" s="2">
        <is>
          <t>Maximum internal acceleration (%)</t>
        </is>
      </c>
      <c r="B6" s="3">
        <v>100.0</v>
      </c>
    </row>
    <row r="7"/>
    <row r="8">
      <c r="A8" t="inlineStr" s="2">
        <is>
          <t>Resolved Velocity (%)</t>
        </is>
      </c>
      <c r="B8" s="4">
        <f>$B$3+(B2-1)*($B$4-$B$3)/99</f>
        <v>81.81818181818183</v>
      </c>
    </row>
    <row r="9">
      <c r="A9" t="inlineStr" s="2">
        <is>
          <t>Resolved Acceleration (%)</t>
        </is>
      </c>
      <c r="B9" s="4">
        <f>(SQRT($B$5)+(B2-1)*(SQRT($B$6)-SQRT($B$5))/99)^2</f>
        <v>66.94214876033058</v>
      </c>
    </row>
    <row r="11">
      <c r="A11" t="inlineStr" s="1">
        <is>
          <t>Equations</t>
        </is>
      </c>
    </row>
    <row r="12">
      <c r="A12" t="inlineStr" s="2">
        <is>
          <t>Normalized progress (t)</t>
        </is>
      </c>
      <c r="B12" t="inlineStr" s="4">
        <is>
          <t>t = (Speed - 1) / 99</t>
        </is>
      </c>
    </row>
    <row r="13">
      <c r="A13" t="inlineStr" s="2">
        <is>
          <t>Velocity</t>
        </is>
      </c>
      <c r="B13" t="inlineStr" s="4">
        <is>
          <t>V = Vmin + t × (Vmax - Vmin)</t>
        </is>
      </c>
    </row>
    <row r="14">
      <c r="A14" t="inlineStr" s="2">
        <is>
          <t>Acceleration</t>
        </is>
      </c>
      <c r="B14" t="inlineStr" s="4">
        <is>
          <t>A = (√Amin + t × (√Amax - √Amin))²</t>
        </is>
      </c>
    </row>
  </sheetData>
  <dataValidations count="5">
    <dataValidation type="whole" operator="between" allowBlank="0" showErrorMessage="1" errorTitle="Invalid speed" error="Enter a whole number from 1 to 100." sqref="B2">
      <formula1>1</formula1>
      <formula2>100</formula2>
    </dataValidation>
    <dataValidation type="decimal" operator="between" allowBlank="0" showErrorMessage="1" errorTitle="Invalid percentage" error="Enter a percentage from 0.01 to 100." sqref="B3 B4 B5 B6">
      <formula1>0.01</formula1>
      <formula2>100</formula2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3" width="20" customWidth="1"/>
  </cols>
  <sheetData>
    <row r="1">
      <c r="A1" t="inlineStr" s="1">
        <is>
          <t>UI Speed</t>
        </is>
      </c>
      <c r="B1" t="inlineStr" s="1">
        <is>
          <t>Velocity (%)</t>
        </is>
      </c>
      <c r="C1" t="inlineStr" s="1">
        <is>
          <t>Acceleration (%)</t>
        </is>
      </c>
    </row>
    <row r="2">
      <c r="A2" s="3">
        <v>1</v>
      </c>
      <c r="B2" s="4">
        <f>Calculator!$B$3+(A2-1)*(Calculator!$B$4-Calculator!$B$3)/99</f>
        <v>10.0</v>
      </c>
      <c r="C2" s="4">
        <f>(SQRT(Calculator!$B$5)+(A2-1)*(SQRT(Calculator!$B$6)-SQRT(Calculator!$B$5))/99)^2</f>
        <v>1.0</v>
      </c>
    </row>
    <row r="3">
      <c r="A3" s="3">
        <v>2</v>
      </c>
      <c r="B3" s="4">
        <f>Calculator!$B$3+(A3-1)*(Calculator!$B$4-Calculator!$B$3)/99</f>
        <v>10.90909090909091</v>
      </c>
      <c r="C3" s="4">
        <f>(SQRT(Calculator!$B$5)+(A3-1)*(SQRT(Calculator!$B$6)-SQRT(Calculator!$B$5))/99)^2</f>
        <v>1.190082644628099</v>
      </c>
    </row>
    <row r="4">
      <c r="A4" s="3">
        <v>3</v>
      </c>
      <c r="B4" s="4">
        <f>Calculator!$B$3+(A4-1)*(Calculator!$B$4-Calculator!$B$3)/99</f>
        <v>11.818181818181818</v>
      </c>
      <c r="C4" s="4">
        <f>(SQRT(Calculator!$B$5)+(A4-1)*(SQRT(Calculator!$B$6)-SQRT(Calculator!$B$5))/99)^2</f>
        <v>1.3966942148760333</v>
      </c>
    </row>
    <row r="5">
      <c r="A5" s="3">
        <v>4</v>
      </c>
      <c r="B5" s="4">
        <f>Calculator!$B$3+(A5-1)*(Calculator!$B$4-Calculator!$B$3)/99</f>
        <v>12.727272727272727</v>
      </c>
      <c r="C5" s="4">
        <f>(SQRT(Calculator!$B$5)+(A5-1)*(SQRT(Calculator!$B$6)-SQRT(Calculator!$B$5))/99)^2</f>
        <v>1.6198347107438016</v>
      </c>
    </row>
    <row r="6">
      <c r="A6" s="3">
        <v>5</v>
      </c>
      <c r="B6" s="4">
        <f>Calculator!$B$3+(A6-1)*(Calculator!$B$4-Calculator!$B$3)/99</f>
        <v>13.636363636363637</v>
      </c>
      <c r="C6" s="4">
        <f>(SQRT(Calculator!$B$5)+(A6-1)*(SQRT(Calculator!$B$6)-SQRT(Calculator!$B$5))/99)^2</f>
        <v>1.8595041322314052</v>
      </c>
    </row>
    <row r="7">
      <c r="A7" s="3">
        <v>6</v>
      </c>
      <c r="B7" s="4">
        <f>Calculator!$B$3+(A7-1)*(Calculator!$B$4-Calculator!$B$3)/99</f>
        <v>14.545454545454545</v>
      </c>
      <c r="C7" s="4">
        <f>(SQRT(Calculator!$B$5)+(A7-1)*(SQRT(Calculator!$B$6)-SQRT(Calculator!$B$5))/99)^2</f>
        <v>2.115702479338843</v>
      </c>
    </row>
    <row r="8">
      <c r="A8" s="3">
        <v>7</v>
      </c>
      <c r="B8" s="4">
        <f>Calculator!$B$3+(A8-1)*(Calculator!$B$4-Calculator!$B$3)/99</f>
        <v>15.454545454545455</v>
      </c>
      <c r="C8" s="4">
        <f>(SQRT(Calculator!$B$5)+(A8-1)*(SQRT(Calculator!$B$6)-SQRT(Calculator!$B$5))/99)^2</f>
        <v>2.3884297520661155</v>
      </c>
    </row>
    <row r="9">
      <c r="A9" s="3">
        <v>8</v>
      </c>
      <c r="B9" s="4">
        <f>Calculator!$B$3+(A9-1)*(Calculator!$B$4-Calculator!$B$3)/99</f>
        <v>16.363636363636363</v>
      </c>
      <c r="C9" s="4">
        <f>(SQRT(Calculator!$B$5)+(A9-1)*(SQRT(Calculator!$B$6)-SQRT(Calculator!$B$5))/99)^2</f>
        <v>2.6776859504132227</v>
      </c>
    </row>
    <row r="10">
      <c r="A10" s="3">
        <v>9</v>
      </c>
      <c r="B10" s="4">
        <f>Calculator!$B$3+(A10-1)*(Calculator!$B$4-Calculator!$B$3)/99</f>
        <v>17.272727272727273</v>
      </c>
      <c r="C10" s="4">
        <f>(SQRT(Calculator!$B$5)+(A10-1)*(SQRT(Calculator!$B$6)-SQRT(Calculator!$B$5))/99)^2</f>
        <v>2.9834710743801653</v>
      </c>
    </row>
    <row r="11">
      <c r="A11" s="3">
        <v>10</v>
      </c>
      <c r="B11" s="4">
        <f>Calculator!$B$3+(A11-1)*(Calculator!$B$4-Calculator!$B$3)/99</f>
        <v>18.18181818181818</v>
      </c>
      <c r="C11" s="4">
        <f>(SQRT(Calculator!$B$5)+(A11-1)*(SQRT(Calculator!$B$6)-SQRT(Calculator!$B$5))/99)^2</f>
        <v>3.3057851239669427</v>
      </c>
    </row>
    <row r="12">
      <c r="A12" s="3">
        <v>11</v>
      </c>
      <c r="B12" s="4">
        <f>Calculator!$B$3+(A12-1)*(Calculator!$B$4-Calculator!$B$3)/99</f>
        <v>19.09090909090909</v>
      </c>
      <c r="C12" s="4">
        <f>(SQRT(Calculator!$B$5)+(A12-1)*(SQRT(Calculator!$B$6)-SQRT(Calculator!$B$5))/99)^2</f>
        <v>3.6446280991735542</v>
      </c>
    </row>
    <row r="13">
      <c r="A13" s="3">
        <v>12</v>
      </c>
      <c r="B13" s="4">
        <f>Calculator!$B$3+(A13-1)*(Calculator!$B$4-Calculator!$B$3)/99</f>
        <v>20.0</v>
      </c>
      <c r="C13" s="4">
        <f>(SQRT(Calculator!$B$5)+(A13-1)*(SQRT(Calculator!$B$6)-SQRT(Calculator!$B$5))/99)^2</f>
        <v>4.0</v>
      </c>
    </row>
    <row r="14">
      <c r="A14" s="3">
        <v>13</v>
      </c>
      <c r="B14" s="4">
        <f>Calculator!$B$3+(A14-1)*(Calculator!$B$4-Calculator!$B$3)/99</f>
        <v>20.90909090909091</v>
      </c>
      <c r="C14" s="4">
        <f>(SQRT(Calculator!$B$5)+(A14-1)*(SQRT(Calculator!$B$6)-SQRT(Calculator!$B$5))/99)^2</f>
        <v>4.37190082644628</v>
      </c>
    </row>
    <row r="15">
      <c r="A15" s="3">
        <v>14</v>
      </c>
      <c r="B15" s="4">
        <f>Calculator!$B$3+(A15-1)*(Calculator!$B$4-Calculator!$B$3)/99</f>
        <v>21.81818181818182</v>
      </c>
      <c r="C15" s="4">
        <f>(SQRT(Calculator!$B$5)+(A15-1)*(SQRT(Calculator!$B$6)-SQRT(Calculator!$B$5))/99)^2</f>
        <v>4.760330578512396</v>
      </c>
    </row>
    <row r="16">
      <c r="A16" s="3">
        <v>15</v>
      </c>
      <c r="B16" s="4">
        <f>Calculator!$B$3+(A16-1)*(Calculator!$B$4-Calculator!$B$3)/99</f>
        <v>22.727272727272727</v>
      </c>
      <c r="C16" s="4">
        <f>(SQRT(Calculator!$B$5)+(A16-1)*(SQRT(Calculator!$B$6)-SQRT(Calculator!$B$5))/99)^2</f>
        <v>5.165289256198346</v>
      </c>
    </row>
    <row r="17">
      <c r="A17" s="3">
        <v>16</v>
      </c>
      <c r="B17" s="4">
        <f>Calculator!$B$3+(A17-1)*(Calculator!$B$4-Calculator!$B$3)/99</f>
        <v>23.636363636363637</v>
      </c>
      <c r="C17" s="4">
        <f>(SQRT(Calculator!$B$5)+(A17-1)*(SQRT(Calculator!$B$6)-SQRT(Calculator!$B$5))/99)^2</f>
        <v>5.586776859504133</v>
      </c>
    </row>
    <row r="18">
      <c r="A18" s="3">
        <v>17</v>
      </c>
      <c r="B18" s="4">
        <f>Calculator!$B$3+(A18-1)*(Calculator!$B$4-Calculator!$B$3)/99</f>
        <v>24.545454545454547</v>
      </c>
      <c r="C18" s="4">
        <f>(SQRT(Calculator!$B$5)+(A18-1)*(SQRT(Calculator!$B$6)-SQRT(Calculator!$B$5))/99)^2</f>
        <v>6.024793388429752</v>
      </c>
    </row>
    <row r="19">
      <c r="A19" s="3">
        <v>18</v>
      </c>
      <c r="B19" s="4">
        <f>Calculator!$B$3+(A19-1)*(Calculator!$B$4-Calculator!$B$3)/99</f>
        <v>25.454545454545453</v>
      </c>
      <c r="C19" s="4">
        <f>(SQRT(Calculator!$B$5)+(A19-1)*(SQRT(Calculator!$B$6)-SQRT(Calculator!$B$5))/99)^2</f>
        <v>6.479338842975206</v>
      </c>
    </row>
    <row r="20">
      <c r="A20" s="3">
        <v>19</v>
      </c>
      <c r="B20" s="4">
        <f>Calculator!$B$3+(A20-1)*(Calculator!$B$4-Calculator!$B$3)/99</f>
        <v>26.363636363636363</v>
      </c>
      <c r="C20" s="4">
        <f>(SQRT(Calculator!$B$5)+(A20-1)*(SQRT(Calculator!$B$6)-SQRT(Calculator!$B$5))/99)^2</f>
        <v>6.950413223140497</v>
      </c>
    </row>
    <row r="21">
      <c r="A21" s="3">
        <v>20</v>
      </c>
      <c r="B21" s="4">
        <f>Calculator!$B$3+(A21-1)*(Calculator!$B$4-Calculator!$B$3)/99</f>
        <v>27.27272727272727</v>
      </c>
      <c r="C21" s="4">
        <f>(SQRT(Calculator!$B$5)+(A21-1)*(SQRT(Calculator!$B$6)-SQRT(Calculator!$B$5))/99)^2</f>
        <v>7.438016528925619</v>
      </c>
    </row>
    <row r="22">
      <c r="A22" s="3">
        <v>21</v>
      </c>
      <c r="B22" s="4">
        <f>Calculator!$B$3+(A22-1)*(Calculator!$B$4-Calculator!$B$3)/99</f>
        <v>28.18181818181818</v>
      </c>
      <c r="C22" s="4">
        <f>(SQRT(Calculator!$B$5)+(A22-1)*(SQRT(Calculator!$B$6)-SQRT(Calculator!$B$5))/99)^2</f>
        <v>7.942148760330579</v>
      </c>
    </row>
    <row r="23">
      <c r="A23" s="3">
        <v>22</v>
      </c>
      <c r="B23" s="4">
        <f>Calculator!$B$3+(A23-1)*(Calculator!$B$4-Calculator!$B$3)/99</f>
        <v>29.09090909090909</v>
      </c>
      <c r="C23" s="4">
        <f>(SQRT(Calculator!$B$5)+(A23-1)*(SQRT(Calculator!$B$6)-SQRT(Calculator!$B$5))/99)^2</f>
        <v>8.462809917355372</v>
      </c>
    </row>
    <row r="24">
      <c r="A24" s="3">
        <v>23</v>
      </c>
      <c r="B24" s="4">
        <f>Calculator!$B$3+(A24-1)*(Calculator!$B$4-Calculator!$B$3)/99</f>
        <v>30.0</v>
      </c>
      <c r="C24" s="4">
        <f>(SQRT(Calculator!$B$5)+(A24-1)*(SQRT(Calculator!$B$6)-SQRT(Calculator!$B$5))/99)^2</f>
        <v>9.0</v>
      </c>
    </row>
    <row r="25">
      <c r="A25" s="3">
        <v>24</v>
      </c>
      <c r="B25" s="4">
        <f>Calculator!$B$3+(A25-1)*(Calculator!$B$4-Calculator!$B$3)/99</f>
        <v>30.90909090909091</v>
      </c>
      <c r="C25" s="4">
        <f>(SQRT(Calculator!$B$5)+(A25-1)*(SQRT(Calculator!$B$6)-SQRT(Calculator!$B$5))/99)^2</f>
        <v>9.553719008264462</v>
      </c>
    </row>
    <row r="26">
      <c r="A26" s="3">
        <v>25</v>
      </c>
      <c r="B26" s="4">
        <f>Calculator!$B$3+(A26-1)*(Calculator!$B$4-Calculator!$B$3)/99</f>
        <v>31.81818181818182</v>
      </c>
      <c r="C26" s="4">
        <f>(SQRT(Calculator!$B$5)+(A26-1)*(SQRT(Calculator!$B$6)-SQRT(Calculator!$B$5))/99)^2</f>
        <v>10.12396694214876</v>
      </c>
    </row>
    <row r="27">
      <c r="A27" s="3">
        <v>26</v>
      </c>
      <c r="B27" s="4">
        <f>Calculator!$B$3+(A27-1)*(Calculator!$B$4-Calculator!$B$3)/99</f>
        <v>32.727272727272734</v>
      </c>
      <c r="C27" s="4">
        <f>(SQRT(Calculator!$B$5)+(A27-1)*(SQRT(Calculator!$B$6)-SQRT(Calculator!$B$5))/99)^2</f>
        <v>10.710743801652894</v>
      </c>
    </row>
    <row r="28">
      <c r="A28" s="3">
        <v>27</v>
      </c>
      <c r="B28" s="4">
        <f>Calculator!$B$3+(A28-1)*(Calculator!$B$4-Calculator!$B$3)/99</f>
        <v>33.63636363636364</v>
      </c>
      <c r="C28" s="4">
        <f>(SQRT(Calculator!$B$5)+(A28-1)*(SQRT(Calculator!$B$6)-SQRT(Calculator!$B$5))/99)^2</f>
        <v>11.31404958677686</v>
      </c>
    </row>
    <row r="29">
      <c r="A29" s="3">
        <v>28</v>
      </c>
      <c r="B29" s="4">
        <f>Calculator!$B$3+(A29-1)*(Calculator!$B$4-Calculator!$B$3)/99</f>
        <v>34.54545454545455</v>
      </c>
      <c r="C29" s="4">
        <f>(SQRT(Calculator!$B$5)+(A29-1)*(SQRT(Calculator!$B$6)-SQRT(Calculator!$B$5))/99)^2</f>
        <v>11.933884297520658</v>
      </c>
    </row>
    <row r="30">
      <c r="A30" s="3">
        <v>29</v>
      </c>
      <c r="B30" s="4">
        <f>Calculator!$B$3+(A30-1)*(Calculator!$B$4-Calculator!$B$3)/99</f>
        <v>35.45454545454545</v>
      </c>
      <c r="C30" s="4">
        <f>(SQRT(Calculator!$B$5)+(A30-1)*(SQRT(Calculator!$B$6)-SQRT(Calculator!$B$5))/99)^2</f>
        <v>12.570247933884298</v>
      </c>
    </row>
    <row r="31">
      <c r="A31" s="3">
        <v>30</v>
      </c>
      <c r="B31" s="4">
        <f>Calculator!$B$3+(A31-1)*(Calculator!$B$4-Calculator!$B$3)/99</f>
        <v>36.36363636363636</v>
      </c>
      <c r="C31" s="4">
        <f>(SQRT(Calculator!$B$5)+(A31-1)*(SQRT(Calculator!$B$6)-SQRT(Calculator!$B$5))/99)^2</f>
        <v>13.223140495867767</v>
      </c>
    </row>
    <row r="32">
      <c r="A32" s="3">
        <v>31</v>
      </c>
      <c r="B32" s="4">
        <f>Calculator!$B$3+(A32-1)*(Calculator!$B$4-Calculator!$B$3)/99</f>
        <v>37.27272727272727</v>
      </c>
      <c r="C32" s="4">
        <f>(SQRT(Calculator!$B$5)+(A32-1)*(SQRT(Calculator!$B$6)-SQRT(Calculator!$B$5))/99)^2</f>
        <v>13.892561983471076</v>
      </c>
    </row>
    <row r="33">
      <c r="A33" s="3">
        <v>32</v>
      </c>
      <c r="B33" s="4">
        <f>Calculator!$B$3+(A33-1)*(Calculator!$B$4-Calculator!$B$3)/99</f>
        <v>38.18181818181819</v>
      </c>
      <c r="C33" s="4">
        <f>(SQRT(Calculator!$B$5)+(A33-1)*(SQRT(Calculator!$B$6)-SQRT(Calculator!$B$5))/99)^2</f>
        <v>14.578512396694217</v>
      </c>
    </row>
    <row r="34">
      <c r="A34" s="3">
        <v>33</v>
      </c>
      <c r="B34" s="4">
        <f>Calculator!$B$3+(A34-1)*(Calculator!$B$4-Calculator!$B$3)/99</f>
        <v>39.09090909090909</v>
      </c>
      <c r="C34" s="4">
        <f>(SQRT(Calculator!$B$5)+(A34-1)*(SQRT(Calculator!$B$6)-SQRT(Calculator!$B$5))/99)^2</f>
        <v>15.28099173553719</v>
      </c>
    </row>
    <row r="35">
      <c r="A35" s="3">
        <v>34</v>
      </c>
      <c r="B35" s="4">
        <f>Calculator!$B$3+(A35-1)*(Calculator!$B$4-Calculator!$B$3)/99</f>
        <v>40.0</v>
      </c>
      <c r="C35" s="4">
        <f>(SQRT(Calculator!$B$5)+(A35-1)*(SQRT(Calculator!$B$6)-SQRT(Calculator!$B$5))/99)^2</f>
        <v>16.0</v>
      </c>
    </row>
    <row r="36">
      <c r="A36" s="3">
        <v>35</v>
      </c>
      <c r="B36" s="4">
        <f>Calculator!$B$3+(A36-1)*(Calculator!$B$4-Calculator!$B$3)/99</f>
        <v>40.90909090909091</v>
      </c>
      <c r="C36" s="4">
        <f>(SQRT(Calculator!$B$5)+(A36-1)*(SQRT(Calculator!$B$6)-SQRT(Calculator!$B$5))/99)^2</f>
        <v>16.735537190082646</v>
      </c>
    </row>
    <row r="37">
      <c r="A37" s="3">
        <v>36</v>
      </c>
      <c r="B37" s="4">
        <f>Calculator!$B$3+(A37-1)*(Calculator!$B$4-Calculator!$B$3)/99</f>
        <v>41.81818181818181</v>
      </c>
      <c r="C37" s="4">
        <f>(SQRT(Calculator!$B$5)+(A37-1)*(SQRT(Calculator!$B$6)-SQRT(Calculator!$B$5))/99)^2</f>
        <v>17.48760330578512</v>
      </c>
    </row>
    <row r="38">
      <c r="A38" s="3">
        <v>37</v>
      </c>
      <c r="B38" s="4">
        <f>Calculator!$B$3+(A38-1)*(Calculator!$B$4-Calculator!$B$3)/99</f>
        <v>42.72727272727273</v>
      </c>
      <c r="C38" s="4">
        <f>(SQRT(Calculator!$B$5)+(A38-1)*(SQRT(Calculator!$B$6)-SQRT(Calculator!$B$5))/99)^2</f>
        <v>18.256198347107443</v>
      </c>
    </row>
    <row r="39">
      <c r="A39" s="3">
        <v>38</v>
      </c>
      <c r="B39" s="4">
        <f>Calculator!$B$3+(A39-1)*(Calculator!$B$4-Calculator!$B$3)/99</f>
        <v>43.63636363636364</v>
      </c>
      <c r="C39" s="4">
        <f>(SQRT(Calculator!$B$5)+(A39-1)*(SQRT(Calculator!$B$6)-SQRT(Calculator!$B$5))/99)^2</f>
        <v>19.041322314049584</v>
      </c>
    </row>
    <row r="40">
      <c r="A40" s="3">
        <v>39</v>
      </c>
      <c r="B40" s="4">
        <f>Calculator!$B$3+(A40-1)*(Calculator!$B$4-Calculator!$B$3)/99</f>
        <v>44.54545454545454</v>
      </c>
      <c r="C40" s="4">
        <f>(SQRT(Calculator!$B$5)+(A40-1)*(SQRT(Calculator!$B$6)-SQRT(Calculator!$B$5))/99)^2</f>
        <v>19.842975206611566</v>
      </c>
    </row>
    <row r="41">
      <c r="A41" s="3">
        <v>40</v>
      </c>
      <c r="B41" s="4">
        <f>Calculator!$B$3+(A41-1)*(Calculator!$B$4-Calculator!$B$3)/99</f>
        <v>45.45454545454545</v>
      </c>
      <c r="C41" s="4">
        <f>(SQRT(Calculator!$B$5)+(A41-1)*(SQRT(Calculator!$B$6)-SQRT(Calculator!$B$5))/99)^2</f>
        <v>20.661157024793383</v>
      </c>
    </row>
    <row r="42">
      <c r="A42" s="3">
        <v>41</v>
      </c>
      <c r="B42" s="4">
        <f>Calculator!$B$3+(A42-1)*(Calculator!$B$4-Calculator!$B$3)/99</f>
        <v>46.36363636363636</v>
      </c>
      <c r="C42" s="4">
        <f>(SQRT(Calculator!$B$5)+(A42-1)*(SQRT(Calculator!$B$6)-SQRT(Calculator!$B$5))/99)^2</f>
        <v>21.495867768595044</v>
      </c>
    </row>
    <row r="43">
      <c r="A43" s="3">
        <v>42</v>
      </c>
      <c r="B43" s="4">
        <f>Calculator!$B$3+(A43-1)*(Calculator!$B$4-Calculator!$B$3)/99</f>
        <v>47.27272727272727</v>
      </c>
      <c r="C43" s="4">
        <f>(SQRT(Calculator!$B$5)+(A43-1)*(SQRT(Calculator!$B$6)-SQRT(Calculator!$B$5))/99)^2</f>
        <v>22.347107438016533</v>
      </c>
    </row>
    <row r="44">
      <c r="A44" s="3">
        <v>43</v>
      </c>
      <c r="B44" s="4">
        <f>Calculator!$B$3+(A44-1)*(Calculator!$B$4-Calculator!$B$3)/99</f>
        <v>48.18181818181818</v>
      </c>
      <c r="C44" s="4">
        <f>(SQRT(Calculator!$B$5)+(A44-1)*(SQRT(Calculator!$B$6)-SQRT(Calculator!$B$5))/99)^2</f>
        <v>23.214876033057852</v>
      </c>
    </row>
    <row r="45">
      <c r="A45" s="3">
        <v>44</v>
      </c>
      <c r="B45" s="4">
        <f>Calculator!$B$3+(A45-1)*(Calculator!$B$4-Calculator!$B$3)/99</f>
        <v>49.09090909090909</v>
      </c>
      <c r="C45" s="4">
        <f>(SQRT(Calculator!$B$5)+(A45-1)*(SQRT(Calculator!$B$6)-SQRT(Calculator!$B$5))/99)^2</f>
        <v>24.09917355371901</v>
      </c>
    </row>
    <row r="46">
      <c r="A46" s="3">
        <v>45</v>
      </c>
      <c r="B46" s="4">
        <f>Calculator!$B$3+(A46-1)*(Calculator!$B$4-Calculator!$B$3)/99</f>
        <v>50.0</v>
      </c>
      <c r="C46" s="4">
        <f>(SQRT(Calculator!$B$5)+(A46-1)*(SQRT(Calculator!$B$6)-SQRT(Calculator!$B$5))/99)^2</f>
        <v>25.0</v>
      </c>
    </row>
    <row r="47">
      <c r="A47" s="3">
        <v>46</v>
      </c>
      <c r="B47" s="4">
        <f>Calculator!$B$3+(A47-1)*(Calculator!$B$4-Calculator!$B$3)/99</f>
        <v>50.90909090909091</v>
      </c>
      <c r="C47" s="4">
        <f>(SQRT(Calculator!$B$5)+(A47-1)*(SQRT(Calculator!$B$6)-SQRT(Calculator!$B$5))/99)^2</f>
        <v>25.917355371900825</v>
      </c>
    </row>
    <row r="48">
      <c r="A48" s="3">
        <v>47</v>
      </c>
      <c r="B48" s="4">
        <f>Calculator!$B$3+(A48-1)*(Calculator!$B$4-Calculator!$B$3)/99</f>
        <v>51.81818181818182</v>
      </c>
      <c r="C48" s="4">
        <f>(SQRT(Calculator!$B$5)+(A48-1)*(SQRT(Calculator!$B$6)-SQRT(Calculator!$B$5))/99)^2</f>
        <v>26.851239669421485</v>
      </c>
    </row>
    <row r="49">
      <c r="A49" s="3">
        <v>48</v>
      </c>
      <c r="B49" s="4">
        <f>Calculator!$B$3+(A49-1)*(Calculator!$B$4-Calculator!$B$3)/99</f>
        <v>52.72727272727273</v>
      </c>
      <c r="C49" s="4">
        <f>(SQRT(Calculator!$B$5)+(A49-1)*(SQRT(Calculator!$B$6)-SQRT(Calculator!$B$5))/99)^2</f>
        <v>27.801652892561982</v>
      </c>
    </row>
    <row r="50">
      <c r="A50" s="3">
        <v>49</v>
      </c>
      <c r="B50" s="4">
        <f>Calculator!$B$3+(A50-1)*(Calculator!$B$4-Calculator!$B$3)/99</f>
        <v>53.63636363636364</v>
      </c>
      <c r="C50" s="4">
        <f>(SQRT(Calculator!$B$5)+(A50-1)*(SQRT(Calculator!$B$6)-SQRT(Calculator!$B$5))/99)^2</f>
        <v>28.76859504132231</v>
      </c>
    </row>
    <row r="51">
      <c r="A51" s="3">
        <v>50</v>
      </c>
      <c r="B51" s="4">
        <f>Calculator!$B$3+(A51-1)*(Calculator!$B$4-Calculator!$B$3)/99</f>
        <v>54.54545454545455</v>
      </c>
      <c r="C51" s="4">
        <f>(SQRT(Calculator!$B$5)+(A51-1)*(SQRT(Calculator!$B$6)-SQRT(Calculator!$B$5))/99)^2</f>
        <v>29.752066115702483</v>
      </c>
    </row>
    <row r="52">
      <c r="A52" s="3">
        <v>51</v>
      </c>
      <c r="B52" s="4">
        <f>Calculator!$B$3+(A52-1)*(Calculator!$B$4-Calculator!$B$3)/99</f>
        <v>55.45454545454546</v>
      </c>
      <c r="C52" s="4">
        <f>(SQRT(Calculator!$B$5)+(A52-1)*(SQRT(Calculator!$B$6)-SQRT(Calculator!$B$5))/99)^2</f>
        <v>30.752066115702483</v>
      </c>
    </row>
    <row r="53">
      <c r="A53" s="3">
        <v>52</v>
      </c>
      <c r="B53" s="4">
        <f>Calculator!$B$3+(A53-1)*(Calculator!$B$4-Calculator!$B$3)/99</f>
        <v>56.36363636363636</v>
      </c>
      <c r="C53" s="4">
        <f>(SQRT(Calculator!$B$5)+(A53-1)*(SQRT(Calculator!$B$6)-SQRT(Calculator!$B$5))/99)^2</f>
        <v>31.768595041322317</v>
      </c>
    </row>
    <row r="54">
      <c r="A54" s="3">
        <v>53</v>
      </c>
      <c r="B54" s="4">
        <f>Calculator!$B$3+(A54-1)*(Calculator!$B$4-Calculator!$B$3)/99</f>
        <v>57.27272727272728</v>
      </c>
      <c r="C54" s="4">
        <f>(SQRT(Calculator!$B$5)+(A54-1)*(SQRT(Calculator!$B$6)-SQRT(Calculator!$B$5))/99)^2</f>
        <v>32.80165289256199</v>
      </c>
    </row>
    <row r="55">
      <c r="A55" s="3">
        <v>54</v>
      </c>
      <c r="B55" s="4">
        <f>Calculator!$B$3+(A55-1)*(Calculator!$B$4-Calculator!$B$3)/99</f>
        <v>58.18181818181818</v>
      </c>
      <c r="C55" s="4">
        <f>(SQRT(Calculator!$B$5)+(A55-1)*(SQRT(Calculator!$B$6)-SQRT(Calculator!$B$5))/99)^2</f>
        <v>33.85123966942149</v>
      </c>
    </row>
    <row r="56">
      <c r="A56" s="3">
        <v>55</v>
      </c>
      <c r="B56" s="4">
        <f>Calculator!$B$3+(A56-1)*(Calculator!$B$4-Calculator!$B$3)/99</f>
        <v>59.090909090909086</v>
      </c>
      <c r="C56" s="4">
        <f>(SQRT(Calculator!$B$5)+(A56-1)*(SQRT(Calculator!$B$6)-SQRT(Calculator!$B$5))/99)^2</f>
        <v>34.91735537190082</v>
      </c>
    </row>
    <row r="57">
      <c r="A57" s="3">
        <v>56</v>
      </c>
      <c r="B57" s="4">
        <f>Calculator!$B$3+(A57-1)*(Calculator!$B$4-Calculator!$B$3)/99</f>
        <v>60.0</v>
      </c>
      <c r="C57" s="4">
        <f>(SQRT(Calculator!$B$5)+(A57-1)*(SQRT(Calculator!$B$6)-SQRT(Calculator!$B$5))/99)^2</f>
        <v>36.0</v>
      </c>
    </row>
    <row r="58">
      <c r="A58" s="3">
        <v>57</v>
      </c>
      <c r="B58" s="4">
        <f>Calculator!$B$3+(A58-1)*(Calculator!$B$4-Calculator!$B$3)/99</f>
        <v>60.90909090909091</v>
      </c>
      <c r="C58" s="4">
        <f>(SQRT(Calculator!$B$5)+(A58-1)*(SQRT(Calculator!$B$6)-SQRT(Calculator!$B$5))/99)^2</f>
        <v>37.099173553719005</v>
      </c>
    </row>
    <row r="59">
      <c r="A59" s="3">
        <v>58</v>
      </c>
      <c r="B59" s="4">
        <f>Calculator!$B$3+(A59-1)*(Calculator!$B$4-Calculator!$B$3)/99</f>
        <v>61.81818181818182</v>
      </c>
      <c r="C59" s="4">
        <f>(SQRT(Calculator!$B$5)+(A59-1)*(SQRT(Calculator!$B$6)-SQRT(Calculator!$B$5))/99)^2</f>
        <v>38.21487603305786</v>
      </c>
    </row>
    <row r="60">
      <c r="A60" s="3">
        <v>59</v>
      </c>
      <c r="B60" s="4">
        <f>Calculator!$B$3+(A60-1)*(Calculator!$B$4-Calculator!$B$3)/99</f>
        <v>62.72727272727273</v>
      </c>
      <c r="C60" s="4">
        <f>(SQRT(Calculator!$B$5)+(A60-1)*(SQRT(Calculator!$B$6)-SQRT(Calculator!$B$5))/99)^2</f>
        <v>39.34710743801653</v>
      </c>
    </row>
    <row r="61">
      <c r="A61" s="3">
        <v>60</v>
      </c>
      <c r="B61" s="4">
        <f>Calculator!$B$3+(A61-1)*(Calculator!$B$4-Calculator!$B$3)/99</f>
        <v>63.63636363636363</v>
      </c>
      <c r="C61" s="4">
        <f>(SQRT(Calculator!$B$5)+(A61-1)*(SQRT(Calculator!$B$6)-SQRT(Calculator!$B$5))/99)^2</f>
        <v>40.49586776859504</v>
      </c>
    </row>
    <row r="62">
      <c r="A62" s="3">
        <v>61</v>
      </c>
      <c r="B62" s="4">
        <f>Calculator!$B$3+(A62-1)*(Calculator!$B$4-Calculator!$B$3)/99</f>
        <v>64.54545454545455</v>
      </c>
      <c r="C62" s="4">
        <f>(SQRT(Calculator!$B$5)+(A62-1)*(SQRT(Calculator!$B$6)-SQRT(Calculator!$B$5))/99)^2</f>
        <v>41.6611570247934</v>
      </c>
    </row>
    <row r="63">
      <c r="A63" s="3">
        <v>62</v>
      </c>
      <c r="B63" s="4">
        <f>Calculator!$B$3+(A63-1)*(Calculator!$B$4-Calculator!$B$3)/99</f>
        <v>65.45454545454545</v>
      </c>
      <c r="C63" s="4">
        <f>(SQRT(Calculator!$B$5)+(A63-1)*(SQRT(Calculator!$B$6)-SQRT(Calculator!$B$5))/99)^2</f>
        <v>42.84297520661156</v>
      </c>
    </row>
    <row r="64">
      <c r="A64" s="3">
        <v>63</v>
      </c>
      <c r="B64" s="4">
        <f>Calculator!$B$3+(A64-1)*(Calculator!$B$4-Calculator!$B$3)/99</f>
        <v>66.36363636363637</v>
      </c>
      <c r="C64" s="4">
        <f>(SQRT(Calculator!$B$5)+(A64-1)*(SQRT(Calculator!$B$6)-SQRT(Calculator!$B$5))/99)^2</f>
        <v>44.041322314049594</v>
      </c>
    </row>
    <row r="65">
      <c r="A65" s="3">
        <v>64</v>
      </c>
      <c r="B65" s="4">
        <f>Calculator!$B$3+(A65-1)*(Calculator!$B$4-Calculator!$B$3)/99</f>
        <v>67.27272727272728</v>
      </c>
      <c r="C65" s="4">
        <f>(SQRT(Calculator!$B$5)+(A65-1)*(SQRT(Calculator!$B$6)-SQRT(Calculator!$B$5))/99)^2</f>
        <v>45.25619834710744</v>
      </c>
    </row>
    <row r="66">
      <c r="A66" s="3">
        <v>65</v>
      </c>
      <c r="B66" s="4">
        <f>Calculator!$B$3+(A66-1)*(Calculator!$B$4-Calculator!$B$3)/99</f>
        <v>68.18181818181819</v>
      </c>
      <c r="C66" s="4">
        <f>(SQRT(Calculator!$B$5)+(A66-1)*(SQRT(Calculator!$B$6)-SQRT(Calculator!$B$5))/99)^2</f>
        <v>46.48760330578513</v>
      </c>
    </row>
    <row r="67">
      <c r="A67" s="3">
        <v>66</v>
      </c>
      <c r="B67" s="4">
        <f>Calculator!$B$3+(A67-1)*(Calculator!$B$4-Calculator!$B$3)/99</f>
        <v>69.0909090909091</v>
      </c>
      <c r="C67" s="4">
        <f>(SQRT(Calculator!$B$5)+(A67-1)*(SQRT(Calculator!$B$6)-SQRT(Calculator!$B$5))/99)^2</f>
        <v>47.735537190082646</v>
      </c>
    </row>
    <row r="68">
      <c r="A68" s="3">
        <v>67</v>
      </c>
      <c r="B68" s="4">
        <f>Calculator!$B$3+(A68-1)*(Calculator!$B$4-Calculator!$B$3)/99</f>
        <v>70.0</v>
      </c>
      <c r="C68" s="4">
        <f>(SQRT(Calculator!$B$5)+(A68-1)*(SQRT(Calculator!$B$6)-SQRT(Calculator!$B$5))/99)^2</f>
        <v>49.0</v>
      </c>
    </row>
    <row r="69">
      <c r="A69" s="3">
        <v>68</v>
      </c>
      <c r="B69" s="4">
        <f>Calculator!$B$3+(A69-1)*(Calculator!$B$4-Calculator!$B$3)/99</f>
        <v>70.9090909090909</v>
      </c>
      <c r="C69" s="4">
        <f>(SQRT(Calculator!$B$5)+(A69-1)*(SQRT(Calculator!$B$6)-SQRT(Calculator!$B$5))/99)^2</f>
        <v>50.28099173553719</v>
      </c>
    </row>
    <row r="70">
      <c r="A70" s="3">
        <v>69</v>
      </c>
      <c r="B70" s="4">
        <f>Calculator!$B$3+(A70-1)*(Calculator!$B$4-Calculator!$B$3)/99</f>
        <v>71.81818181818181</v>
      </c>
      <c r="C70" s="4">
        <f>(SQRT(Calculator!$B$5)+(A70-1)*(SQRT(Calculator!$B$6)-SQRT(Calculator!$B$5))/99)^2</f>
        <v>51.578512396694215</v>
      </c>
    </row>
    <row r="71">
      <c r="A71" s="3">
        <v>70</v>
      </c>
      <c r="B71" s="4">
        <f>Calculator!$B$3+(A71-1)*(Calculator!$B$4-Calculator!$B$3)/99</f>
        <v>72.72727272727273</v>
      </c>
      <c r="C71" s="4">
        <f>(SQRT(Calculator!$B$5)+(A71-1)*(SQRT(Calculator!$B$6)-SQRT(Calculator!$B$5))/99)^2</f>
        <v>52.89256198347108</v>
      </c>
    </row>
    <row r="72">
      <c r="A72" s="3">
        <v>71</v>
      </c>
      <c r="B72" s="4">
        <f>Calculator!$B$3+(A72-1)*(Calculator!$B$4-Calculator!$B$3)/99</f>
        <v>73.63636363636363</v>
      </c>
      <c r="C72" s="4">
        <f>(SQRT(Calculator!$B$5)+(A72-1)*(SQRT(Calculator!$B$6)-SQRT(Calculator!$B$5))/99)^2</f>
        <v>54.22314049586777</v>
      </c>
    </row>
    <row r="73">
      <c r="A73" s="3">
        <v>72</v>
      </c>
      <c r="B73" s="4">
        <f>Calculator!$B$3+(A73-1)*(Calculator!$B$4-Calculator!$B$3)/99</f>
        <v>74.54545454545455</v>
      </c>
      <c r="C73" s="4">
        <f>(SQRT(Calculator!$B$5)+(A73-1)*(SQRT(Calculator!$B$6)-SQRT(Calculator!$B$5))/99)^2</f>
        <v>55.57024793388429</v>
      </c>
    </row>
    <row r="74">
      <c r="A74" s="3">
        <v>73</v>
      </c>
      <c r="B74" s="4">
        <f>Calculator!$B$3+(A74-1)*(Calculator!$B$4-Calculator!$B$3)/99</f>
        <v>75.45454545454545</v>
      </c>
      <c r="C74" s="4">
        <f>(SQRT(Calculator!$B$5)+(A74-1)*(SQRT(Calculator!$B$6)-SQRT(Calculator!$B$5))/99)^2</f>
        <v>56.93388429752067</v>
      </c>
    </row>
    <row r="75">
      <c r="A75" s="3">
        <v>74</v>
      </c>
      <c r="B75" s="4">
        <f>Calculator!$B$3+(A75-1)*(Calculator!$B$4-Calculator!$B$3)/99</f>
        <v>76.36363636363636</v>
      </c>
      <c r="C75" s="4">
        <f>(SQRT(Calculator!$B$5)+(A75-1)*(SQRT(Calculator!$B$6)-SQRT(Calculator!$B$5))/99)^2</f>
        <v>58.314049586776854</v>
      </c>
    </row>
    <row r="76">
      <c r="A76" s="3">
        <v>75</v>
      </c>
      <c r="B76" s="4">
        <f>Calculator!$B$3+(A76-1)*(Calculator!$B$4-Calculator!$B$3)/99</f>
        <v>77.27272727272728</v>
      </c>
      <c r="C76" s="4">
        <f>(SQRT(Calculator!$B$5)+(A76-1)*(SQRT(Calculator!$B$6)-SQRT(Calculator!$B$5))/99)^2</f>
        <v>59.710743801652896</v>
      </c>
    </row>
    <row r="77">
      <c r="A77" s="3">
        <v>76</v>
      </c>
      <c r="B77" s="4">
        <f>Calculator!$B$3+(A77-1)*(Calculator!$B$4-Calculator!$B$3)/99</f>
        <v>78.18181818181819</v>
      </c>
      <c r="C77" s="4">
        <f>(SQRT(Calculator!$B$5)+(A77-1)*(SQRT(Calculator!$B$6)-SQRT(Calculator!$B$5))/99)^2</f>
        <v>61.12396694214876</v>
      </c>
    </row>
    <row r="78">
      <c r="A78" s="3">
        <v>77</v>
      </c>
      <c r="B78" s="4">
        <f>Calculator!$B$3+(A78-1)*(Calculator!$B$4-Calculator!$B$3)/99</f>
        <v>79.09090909090908</v>
      </c>
      <c r="C78" s="4">
        <f>(SQRT(Calculator!$B$5)+(A78-1)*(SQRT(Calculator!$B$6)-SQRT(Calculator!$B$5))/99)^2</f>
        <v>62.55371900826445</v>
      </c>
    </row>
    <row r="79">
      <c r="A79" s="3">
        <v>78</v>
      </c>
      <c r="B79" s="4">
        <f>Calculator!$B$3+(A79-1)*(Calculator!$B$4-Calculator!$B$3)/99</f>
        <v>80.0</v>
      </c>
      <c r="C79" s="4">
        <f>(SQRT(Calculator!$B$5)+(A79-1)*(SQRT(Calculator!$B$6)-SQRT(Calculator!$B$5))/99)^2</f>
        <v>64.0</v>
      </c>
    </row>
    <row r="80">
      <c r="A80" s="3">
        <v>79</v>
      </c>
      <c r="B80" s="4">
        <f>Calculator!$B$3+(A80-1)*(Calculator!$B$4-Calculator!$B$3)/99</f>
        <v>80.9090909090909</v>
      </c>
      <c r="C80" s="4">
        <f>(SQRT(Calculator!$B$5)+(A80-1)*(SQRT(Calculator!$B$6)-SQRT(Calculator!$B$5))/99)^2</f>
        <v>65.46280991735536</v>
      </c>
    </row>
    <row r="81">
      <c r="A81" s="3">
        <v>80</v>
      </c>
      <c r="B81" s="4">
        <f>Calculator!$B$3+(A81-1)*(Calculator!$B$4-Calculator!$B$3)/99</f>
        <v>81.81818181818183</v>
      </c>
      <c r="C81" s="4">
        <f>(SQRT(Calculator!$B$5)+(A81-1)*(SQRT(Calculator!$B$6)-SQRT(Calculator!$B$5))/99)^2</f>
        <v>66.94214876033058</v>
      </c>
    </row>
    <row r="82">
      <c r="A82" s="3">
        <v>81</v>
      </c>
      <c r="B82" s="4">
        <f>Calculator!$B$3+(A82-1)*(Calculator!$B$4-Calculator!$B$3)/99</f>
        <v>82.72727272727272</v>
      </c>
      <c r="C82" s="4">
        <f>(SQRT(Calculator!$B$5)+(A82-1)*(SQRT(Calculator!$B$6)-SQRT(Calculator!$B$5))/99)^2</f>
        <v>68.43801652892563</v>
      </c>
    </row>
    <row r="83">
      <c r="A83" s="3">
        <v>82</v>
      </c>
      <c r="B83" s="4">
        <f>Calculator!$B$3+(A83-1)*(Calculator!$B$4-Calculator!$B$3)/99</f>
        <v>83.63636363636364</v>
      </c>
      <c r="C83" s="4">
        <f>(SQRT(Calculator!$B$5)+(A83-1)*(SQRT(Calculator!$B$6)-SQRT(Calculator!$B$5))/99)^2</f>
        <v>69.95041322314049</v>
      </c>
    </row>
    <row r="84">
      <c r="A84" s="3">
        <v>83</v>
      </c>
      <c r="B84" s="4">
        <f>Calculator!$B$3+(A84-1)*(Calculator!$B$4-Calculator!$B$3)/99</f>
        <v>84.54545454545455</v>
      </c>
      <c r="C84" s="4">
        <f>(SQRT(Calculator!$B$5)+(A84-1)*(SQRT(Calculator!$B$6)-SQRT(Calculator!$B$5))/99)^2</f>
        <v>71.47933884297521</v>
      </c>
    </row>
    <row r="85">
      <c r="A85" s="3">
        <v>84</v>
      </c>
      <c r="B85" s="4">
        <f>Calculator!$B$3+(A85-1)*(Calculator!$B$4-Calculator!$B$3)/99</f>
        <v>85.45454545454545</v>
      </c>
      <c r="C85" s="4">
        <f>(SQRT(Calculator!$B$5)+(A85-1)*(SQRT(Calculator!$B$6)-SQRT(Calculator!$B$5))/99)^2</f>
        <v>73.02479338842974</v>
      </c>
    </row>
    <row r="86">
      <c r="A86" s="3">
        <v>85</v>
      </c>
      <c r="B86" s="4">
        <f>Calculator!$B$3+(A86-1)*(Calculator!$B$4-Calculator!$B$3)/99</f>
        <v>86.36363636363636</v>
      </c>
      <c r="C86" s="4">
        <f>(SQRT(Calculator!$B$5)+(A86-1)*(SQRT(Calculator!$B$6)-SQRT(Calculator!$B$5))/99)^2</f>
        <v>74.58677685950414</v>
      </c>
    </row>
    <row r="87">
      <c r="A87" s="3">
        <v>86</v>
      </c>
      <c r="B87" s="4">
        <f>Calculator!$B$3+(A87-1)*(Calculator!$B$4-Calculator!$B$3)/99</f>
        <v>87.27272727272727</v>
      </c>
      <c r="C87" s="4">
        <f>(SQRT(Calculator!$B$5)+(A87-1)*(SQRT(Calculator!$B$6)-SQRT(Calculator!$B$5))/99)^2</f>
        <v>76.16528925619834</v>
      </c>
    </row>
    <row r="88">
      <c r="A88" s="3">
        <v>87</v>
      </c>
      <c r="B88" s="4">
        <f>Calculator!$B$3+(A88-1)*(Calculator!$B$4-Calculator!$B$3)/99</f>
        <v>88.18181818181819</v>
      </c>
      <c r="C88" s="4">
        <f>(SQRT(Calculator!$B$5)+(A88-1)*(SQRT(Calculator!$B$6)-SQRT(Calculator!$B$5))/99)^2</f>
        <v>77.7603305785124</v>
      </c>
    </row>
    <row r="89">
      <c r="A89" s="3">
        <v>88</v>
      </c>
      <c r="B89" s="4">
        <f>Calculator!$B$3+(A89-1)*(Calculator!$B$4-Calculator!$B$3)/99</f>
        <v>89.0909090909091</v>
      </c>
      <c r="C89" s="4">
        <f>(SQRT(Calculator!$B$5)+(A89-1)*(SQRT(Calculator!$B$6)-SQRT(Calculator!$B$5))/99)^2</f>
        <v>79.37190082644629</v>
      </c>
    </row>
    <row r="90">
      <c r="A90" s="3">
        <v>89</v>
      </c>
      <c r="B90" s="4">
        <f>Calculator!$B$3+(A90-1)*(Calculator!$B$4-Calculator!$B$3)/99</f>
        <v>90.0</v>
      </c>
      <c r="C90" s="4">
        <f>(SQRT(Calculator!$B$5)+(A90-1)*(SQRT(Calculator!$B$6)-SQRT(Calculator!$B$5))/99)^2</f>
        <v>81.0</v>
      </c>
    </row>
    <row r="91">
      <c r="A91" s="3">
        <v>90</v>
      </c>
      <c r="B91" s="4">
        <f>Calculator!$B$3+(A91-1)*(Calculator!$B$4-Calculator!$B$3)/99</f>
        <v>90.9090909090909</v>
      </c>
      <c r="C91" s="4">
        <f>(SQRT(Calculator!$B$5)+(A91-1)*(SQRT(Calculator!$B$6)-SQRT(Calculator!$B$5))/99)^2</f>
        <v>82.64462809917357</v>
      </c>
    </row>
    <row r="92">
      <c r="A92" s="3">
        <v>91</v>
      </c>
      <c r="B92" s="4">
        <f>Calculator!$B$3+(A92-1)*(Calculator!$B$4-Calculator!$B$3)/99</f>
        <v>91.81818181818181</v>
      </c>
      <c r="C92" s="4">
        <f>(SQRT(Calculator!$B$5)+(A92-1)*(SQRT(Calculator!$B$6)-SQRT(Calculator!$B$5))/99)^2</f>
        <v>84.30578512396694</v>
      </c>
    </row>
    <row r="93">
      <c r="A93" s="3">
        <v>92</v>
      </c>
      <c r="B93" s="4">
        <f>Calculator!$B$3+(A93-1)*(Calculator!$B$4-Calculator!$B$3)/99</f>
        <v>92.72727272727273</v>
      </c>
      <c r="C93" s="4">
        <f>(SQRT(Calculator!$B$5)+(A93-1)*(SQRT(Calculator!$B$6)-SQRT(Calculator!$B$5))/99)^2</f>
        <v>85.98347107438018</v>
      </c>
    </row>
    <row r="94">
      <c r="A94" s="3">
        <v>93</v>
      </c>
      <c r="B94" s="4">
        <f>Calculator!$B$3+(A94-1)*(Calculator!$B$4-Calculator!$B$3)/99</f>
        <v>93.63636363636364</v>
      </c>
      <c r="C94" s="4">
        <f>(SQRT(Calculator!$B$5)+(A94-1)*(SQRT(Calculator!$B$6)-SQRT(Calculator!$B$5))/99)^2</f>
        <v>87.67768595041322</v>
      </c>
    </row>
    <row r="95">
      <c r="A95" s="3">
        <v>94</v>
      </c>
      <c r="B95" s="4">
        <f>Calculator!$B$3+(A95-1)*(Calculator!$B$4-Calculator!$B$3)/99</f>
        <v>94.54545454545455</v>
      </c>
      <c r="C95" s="4">
        <f>(SQRT(Calculator!$B$5)+(A95-1)*(SQRT(Calculator!$B$6)-SQRT(Calculator!$B$5))/99)^2</f>
        <v>89.38842975206613</v>
      </c>
    </row>
    <row r="96">
      <c r="A96" s="3">
        <v>95</v>
      </c>
      <c r="B96" s="4">
        <f>Calculator!$B$3+(A96-1)*(Calculator!$B$4-Calculator!$B$3)/99</f>
        <v>95.45454545454545</v>
      </c>
      <c r="C96" s="4">
        <f>(SQRT(Calculator!$B$5)+(A96-1)*(SQRT(Calculator!$B$6)-SQRT(Calculator!$B$5))/99)^2</f>
        <v>91.11570247933884</v>
      </c>
    </row>
    <row r="97">
      <c r="A97" s="3">
        <v>96</v>
      </c>
      <c r="B97" s="4">
        <f>Calculator!$B$3+(A97-1)*(Calculator!$B$4-Calculator!$B$3)/99</f>
        <v>96.36363636363636</v>
      </c>
      <c r="C97" s="4">
        <f>(SQRT(Calculator!$B$5)+(A97-1)*(SQRT(Calculator!$B$6)-SQRT(Calculator!$B$5))/99)^2</f>
        <v>92.85950413223141</v>
      </c>
    </row>
    <row r="98">
      <c r="A98" s="3">
        <v>97</v>
      </c>
      <c r="B98" s="4">
        <f>Calculator!$B$3+(A98-1)*(Calculator!$B$4-Calculator!$B$3)/99</f>
        <v>97.27272727272728</v>
      </c>
      <c r="C98" s="4">
        <f>(SQRT(Calculator!$B$5)+(A98-1)*(SQRT(Calculator!$B$6)-SQRT(Calculator!$B$5))/99)^2</f>
        <v>94.61983471074379</v>
      </c>
    </row>
    <row r="99">
      <c r="A99" s="3">
        <v>98</v>
      </c>
      <c r="B99" s="4">
        <f>Calculator!$B$3+(A99-1)*(Calculator!$B$4-Calculator!$B$3)/99</f>
        <v>98.18181818181819</v>
      </c>
      <c r="C99" s="4">
        <f>(SQRT(Calculator!$B$5)+(A99-1)*(SQRT(Calculator!$B$6)-SQRT(Calculator!$B$5))/99)^2</f>
        <v>96.39669421487604</v>
      </c>
    </row>
    <row r="100">
      <c r="A100" s="3">
        <v>99</v>
      </c>
      <c r="B100" s="4">
        <f>Calculator!$B$3+(A100-1)*(Calculator!$B$4-Calculator!$B$3)/99</f>
        <v>99.0909090909091</v>
      </c>
      <c r="C100" s="4">
        <f>(SQRT(Calculator!$B$5)+(A100-1)*(SQRT(Calculator!$B$6)-SQRT(Calculator!$B$5))/99)^2</f>
        <v>98.19008264462812</v>
      </c>
    </row>
    <row r="101">
      <c r="A101" s="3">
        <v>100</v>
      </c>
      <c r="B101" s="4">
        <f>Calculator!$B$3+(A101-1)*(Calculator!$B$4-Calculator!$B$3)/99</f>
        <v>100.0</v>
      </c>
      <c r="C101" s="4">
        <f>(SQRT(Calculator!$B$5)+(A101-1)*(SQRT(Calculator!$B$6)-SQRT(Calculator!$B$5))/99)^2</f>
        <v>100.0</v>
      </c>
    </row>
  </sheetData>
  <drawing r:id="rId1"/>
</worksheet>
</file>